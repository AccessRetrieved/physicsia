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rca-my.sharepoint.com/personal/huj26_mywrca_ca/Documents/12/Physics SL/Physics IA/Data/"/>
    </mc:Choice>
  </mc:AlternateContent>
  <xr:revisionPtr revIDLastSave="376" documentId="6_{0F84349B-43B1-354D-8451-4274221D0CBF}" xr6:coauthVersionLast="47" xr6:coauthVersionMax="47" xr10:uidLastSave="{876B1284-FB57-5A47-9E89-23C9980EE8F5}"/>
  <bookViews>
    <workbookView xWindow="0" yWindow="500" windowWidth="51200" windowHeight="28300" activeTab="2" xr2:uid="{61F5CDBF-891D-824E-8E5F-3CA22CEE3820}"/>
  </bookViews>
  <sheets>
    <sheet name="Summary" sheetId="1" r:id="rId1"/>
    <sheet name="Speed" sheetId="2" r:id="rId2"/>
    <sheet name="Grap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25" i="1"/>
  <c r="E31" i="1"/>
  <c r="E27" i="1"/>
  <c r="H26" i="1" s="1"/>
  <c r="I26" i="1" s="1"/>
  <c r="E2" i="1"/>
  <c r="E6" i="1"/>
  <c r="E10" i="1"/>
  <c r="E13" i="1"/>
  <c r="E14" i="1"/>
  <c r="K17" i="1"/>
  <c r="E34" i="1"/>
  <c r="E32" i="1"/>
  <c r="K5" i="1"/>
  <c r="K8" i="1"/>
  <c r="K11" i="1"/>
  <c r="K14" i="1"/>
  <c r="K20" i="1"/>
  <c r="K23" i="1"/>
  <c r="K29" i="1"/>
  <c r="K32" i="1"/>
  <c r="H5" i="1"/>
  <c r="I5" i="1" s="1"/>
  <c r="H8" i="1"/>
  <c r="I8" i="1" s="1"/>
  <c r="H11" i="1"/>
  <c r="I11" i="1" s="1"/>
  <c r="H14" i="1"/>
  <c r="I14" i="1" s="1"/>
  <c r="H20" i="1"/>
  <c r="H23" i="1"/>
  <c r="I23" i="1" s="1"/>
  <c r="H29" i="1"/>
  <c r="I29" i="1" s="1"/>
  <c r="H32" i="1"/>
  <c r="I32" i="1" s="1"/>
  <c r="I20" i="1"/>
  <c r="C3" i="2"/>
  <c r="C4" i="2"/>
  <c r="C5" i="2"/>
  <c r="C6" i="2"/>
  <c r="C7" i="2"/>
  <c r="C8" i="2"/>
  <c r="C9" i="2"/>
  <c r="C10" i="2"/>
  <c r="C11" i="2"/>
  <c r="C12" i="2"/>
  <c r="C2" i="2"/>
  <c r="J8" i="1"/>
  <c r="J17" i="1"/>
  <c r="J20" i="1"/>
  <c r="G2" i="1"/>
  <c r="J2" i="1" s="1"/>
  <c r="G3" i="1"/>
  <c r="G4" i="1"/>
  <c r="G5" i="1"/>
  <c r="J5" i="1" s="1"/>
  <c r="G6" i="1"/>
  <c r="G7" i="1"/>
  <c r="G8" i="1"/>
  <c r="G9" i="1"/>
  <c r="G10" i="1"/>
  <c r="G11" i="1"/>
  <c r="G12" i="1"/>
  <c r="G13" i="1"/>
  <c r="J11" i="1" s="1"/>
  <c r="G14" i="1"/>
  <c r="J14" i="1" s="1"/>
  <c r="G15" i="1"/>
  <c r="G16" i="1"/>
  <c r="G17" i="1"/>
  <c r="G18" i="1"/>
  <c r="G19" i="1"/>
  <c r="G20" i="1"/>
  <c r="G21" i="1"/>
  <c r="G22" i="1"/>
  <c r="G23" i="1"/>
  <c r="J23" i="1" s="1"/>
  <c r="G24" i="1"/>
  <c r="G25" i="1"/>
  <c r="G26" i="1"/>
  <c r="J26" i="1" s="1"/>
  <c r="G27" i="1"/>
  <c r="G28" i="1"/>
  <c r="G29" i="1"/>
  <c r="J29" i="1" s="1"/>
  <c r="G30" i="1"/>
  <c r="G31" i="1"/>
  <c r="G32" i="1"/>
  <c r="J32" i="1" s="1"/>
  <c r="G33" i="1"/>
  <c r="G34" i="1"/>
  <c r="E3" i="1"/>
  <c r="E4" i="1"/>
  <c r="E5" i="1"/>
  <c r="E7" i="1"/>
  <c r="E8" i="1"/>
  <c r="E9" i="1"/>
  <c r="E11" i="1"/>
  <c r="E12" i="1"/>
  <c r="E15" i="1"/>
  <c r="E16" i="1"/>
  <c r="E17" i="1"/>
  <c r="E18" i="1"/>
  <c r="E20" i="1"/>
  <c r="E21" i="1"/>
  <c r="E22" i="1"/>
  <c r="E23" i="1"/>
  <c r="E24" i="1"/>
  <c r="E26" i="1"/>
  <c r="E28" i="1"/>
  <c r="E29" i="1"/>
  <c r="E30" i="1"/>
  <c r="E33" i="1"/>
  <c r="H2" i="1"/>
  <c r="I2" i="1" s="1"/>
  <c r="K26" i="1" l="1"/>
  <c r="H17" i="1"/>
  <c r="I17" i="1" s="1"/>
  <c r="K2" i="1"/>
</calcChain>
</file>

<file path=xl/sharedStrings.xml><?xml version="1.0" encoding="utf-8"?>
<sst xmlns="http://schemas.openxmlformats.org/spreadsheetml/2006/main" count="18" uniqueCount="18">
  <si>
    <t>Level</t>
  </si>
  <si>
    <t>Trial</t>
  </si>
  <si>
    <t>SD</t>
  </si>
  <si>
    <t>Horizontal Velocity (ms^-1)</t>
  </si>
  <si>
    <t>Horizontal Displacement (cm)</t>
  </si>
  <si>
    <t>Landing Xcoord (m)</t>
  </si>
  <si>
    <t>Ball Mass (kg)</t>
  </si>
  <si>
    <t>Fall Time (s)</t>
  </si>
  <si>
    <t>Average Fall Time (s)</t>
  </si>
  <si>
    <t>Speed Level</t>
  </si>
  <si>
    <t>Airflow speed (ms^-1)</t>
  </si>
  <si>
    <t>Speed Uncertainty (ms^-1)</t>
  </si>
  <si>
    <t>Average Horizontal Displacement (m)</t>
  </si>
  <si>
    <t>Fan Speed</t>
  </si>
  <si>
    <t>Fan Uncertainty</t>
  </si>
  <si>
    <t>Corrected Average Displacement (m)</t>
  </si>
  <si>
    <t>Displacement Uncertainty</t>
  </si>
  <si>
    <t>Average Displacement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</si>
</sst>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70" formatCode="0.0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64" fontId="1" fillId="2" borderId="1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164" fontId="1" fillId="2" borderId="7" xfId="0" applyNumberFormat="1" applyFont="1" applyFill="1" applyBorder="1" applyAlignment="1">
      <alignment horizontal="center"/>
    </xf>
    <xf numFmtId="164" fontId="1" fillId="2" borderId="9" xfId="0" applyNumberFormat="1" applyFont="1" applyFill="1" applyBorder="1" applyAlignment="1">
      <alignment horizontal="center"/>
    </xf>
    <xf numFmtId="164" fontId="1" fillId="2" borderId="11" xfId="0" applyNumberFormat="1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164" fontId="1" fillId="2" borderId="12" xfId="0" applyNumberFormat="1" applyFont="1" applyFill="1" applyBorder="1" applyAlignment="1">
      <alignment horizontal="center"/>
    </xf>
    <xf numFmtId="164" fontId="1" fillId="2" borderId="14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164" fontId="1" fillId="2" borderId="15" xfId="0" applyNumberFormat="1" applyFont="1" applyFill="1" applyBorder="1" applyAlignment="1">
      <alignment horizontal="center"/>
    </xf>
    <xf numFmtId="164" fontId="1" fillId="2" borderId="16" xfId="0" applyNumberFormat="1" applyFont="1" applyFill="1" applyBorder="1" applyAlignment="1">
      <alignment horizontal="center"/>
    </xf>
    <xf numFmtId="164" fontId="1" fillId="2" borderId="17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4" fontId="1" fillId="2" borderId="18" xfId="0" applyNumberFormat="1" applyFont="1" applyFill="1" applyBorder="1" applyAlignment="1">
      <alignment horizontal="center" vertical="center"/>
    </xf>
    <xf numFmtId="164" fontId="1" fillId="2" borderId="19" xfId="0" applyNumberFormat="1" applyFont="1" applyFill="1" applyBorder="1" applyAlignment="1">
      <alignment horizontal="center" vertical="center"/>
    </xf>
    <xf numFmtId="164" fontId="1" fillId="2" borderId="20" xfId="0" applyNumberFormat="1" applyFont="1" applyFill="1" applyBorder="1" applyAlignment="1">
      <alignment horizontal="center" vertical="center"/>
    </xf>
    <xf numFmtId="164" fontId="1" fillId="2" borderId="21" xfId="0" applyNumberFormat="1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164" fontId="1" fillId="2" borderId="22" xfId="0" applyNumberFormat="1" applyFont="1" applyFill="1" applyBorder="1" applyAlignment="1">
      <alignment horizontal="center"/>
    </xf>
    <xf numFmtId="164" fontId="1" fillId="2" borderId="24" xfId="0" applyNumberFormat="1" applyFont="1" applyFill="1" applyBorder="1" applyAlignment="1">
      <alignment horizontal="center"/>
    </xf>
    <xf numFmtId="164" fontId="1" fillId="2" borderId="25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/>
    </xf>
    <xf numFmtId="170" fontId="1" fillId="2" borderId="21" xfId="0" applyNumberFormat="1" applyFont="1" applyFill="1" applyBorder="1" applyAlignment="1">
      <alignment horizontal="center" vertical="center"/>
    </xf>
    <xf numFmtId="170" fontId="1" fillId="2" borderId="5" xfId="0" applyNumberFormat="1" applyFont="1" applyFill="1" applyBorder="1" applyAlignment="1">
      <alignment horizontal="center" vertical="center"/>
    </xf>
    <xf numFmtId="170" fontId="1" fillId="2" borderId="27" xfId="0" applyNumberFormat="1" applyFont="1" applyFill="1" applyBorder="1" applyAlignment="1">
      <alignment horizontal="center" vertical="center"/>
    </xf>
    <xf numFmtId="170" fontId="1" fillId="2" borderId="28" xfId="0" applyNumberFormat="1" applyFont="1" applyFill="1" applyBorder="1" applyAlignment="1">
      <alignment horizontal="center" vertical="center"/>
    </xf>
    <xf numFmtId="170" fontId="1" fillId="2" borderId="2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Fan Speed (ms^-1)</a:t>
            </a:r>
            <a:r>
              <a:rPr lang="en-US" baseline="0"/>
              <a:t> vs. Average Horizontal Displacement (m)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282406935731932E-2"/>
          <c:y val="7.614434947768281E-2"/>
          <c:w val="0.89054322461078683"/>
          <c:h val="0.8436941322505626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forward val="1.35"/>
            <c:dispRSqr val="0"/>
            <c:dispEq val="1"/>
            <c:trendlineLbl>
              <c:layout>
                <c:manualLayout>
                  <c:x val="2.0649380852709866E-2"/>
                  <c:y val="-2.52414174723886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cust"/>
            <c:noEndCap val="0"/>
            <c:plus>
              <c:numRef>
                <c:f>Graphs!$B$2:$B$12</c:f>
                <c:numCache>
                  <c:formatCode>General</c:formatCode>
                  <c:ptCount val="11"/>
                  <c:pt idx="0">
                    <c:v>0</c:v>
                  </c:pt>
                  <c:pt idx="1">
                    <c:v>0.1</c:v>
                  </c:pt>
                  <c:pt idx="2">
                    <c:v>0.2</c:v>
                  </c:pt>
                  <c:pt idx="3">
                    <c:v>0.3</c:v>
                  </c:pt>
                  <c:pt idx="4">
                    <c:v>0.3</c:v>
                  </c:pt>
                  <c:pt idx="5">
                    <c:v>0.4</c:v>
                  </c:pt>
                  <c:pt idx="6">
                    <c:v>0.4</c:v>
                  </c:pt>
                  <c:pt idx="7">
                    <c:v>0.5</c:v>
                  </c:pt>
                  <c:pt idx="8">
                    <c:v>0.6</c:v>
                  </c:pt>
                  <c:pt idx="9">
                    <c:v>0.6</c:v>
                  </c:pt>
                  <c:pt idx="10">
                    <c:v>0.6</c:v>
                  </c:pt>
                </c:numCache>
              </c:numRef>
            </c:plus>
            <c:minus>
              <c:numRef>
                <c:f>Graphs!$B$2:$B$12</c:f>
                <c:numCache>
                  <c:formatCode>General</c:formatCode>
                  <c:ptCount val="11"/>
                  <c:pt idx="0">
                    <c:v>0</c:v>
                  </c:pt>
                  <c:pt idx="1">
                    <c:v>0.1</c:v>
                  </c:pt>
                  <c:pt idx="2">
                    <c:v>0.2</c:v>
                  </c:pt>
                  <c:pt idx="3">
                    <c:v>0.3</c:v>
                  </c:pt>
                  <c:pt idx="4">
                    <c:v>0.3</c:v>
                  </c:pt>
                  <c:pt idx="5">
                    <c:v>0.4</c:v>
                  </c:pt>
                  <c:pt idx="6">
                    <c:v>0.4</c:v>
                  </c:pt>
                  <c:pt idx="7">
                    <c:v>0.5</c:v>
                  </c:pt>
                  <c:pt idx="8">
                    <c:v>0.6</c:v>
                  </c:pt>
                  <c:pt idx="9">
                    <c:v>0.6</c:v>
                  </c:pt>
                  <c:pt idx="10">
                    <c:v>0.6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Graphs!$D$2:$D$12</c:f>
                <c:numCache>
                  <c:formatCode>General</c:formatCode>
                  <c:ptCount val="11"/>
                  <c:pt idx="0">
                    <c:v>9.0184995056457953E-3</c:v>
                  </c:pt>
                  <c:pt idx="1">
                    <c:v>8.9999999999999993E-3</c:v>
                  </c:pt>
                  <c:pt idx="2">
                    <c:v>1.4999999999999999E-2</c:v>
                  </c:pt>
                  <c:pt idx="3">
                    <c:v>2.4E-2</c:v>
                  </c:pt>
                  <c:pt idx="4">
                    <c:v>0.01</c:v>
                  </c:pt>
                  <c:pt idx="5">
                    <c:v>8.5999999999999993E-2</c:v>
                  </c:pt>
                  <c:pt idx="6">
                    <c:v>1.4999999999999999E-2</c:v>
                  </c:pt>
                  <c:pt idx="7">
                    <c:v>4.1000000000000002E-2</c:v>
                  </c:pt>
                  <c:pt idx="8">
                    <c:v>5.8999999999999997E-2</c:v>
                  </c:pt>
                  <c:pt idx="9">
                    <c:v>4.1000000000000002E-2</c:v>
                  </c:pt>
                  <c:pt idx="10">
                    <c:v>3.0000000000000001E-3</c:v>
                  </c:pt>
                </c:numCache>
              </c:numRef>
            </c:plus>
            <c:minus>
              <c:numRef>
                <c:f>Graphs!$D$2:$D$12</c:f>
                <c:numCache>
                  <c:formatCode>General</c:formatCode>
                  <c:ptCount val="11"/>
                  <c:pt idx="0">
                    <c:v>9.0184995056457953E-3</c:v>
                  </c:pt>
                  <c:pt idx="1">
                    <c:v>8.9999999999999993E-3</c:v>
                  </c:pt>
                  <c:pt idx="2">
                    <c:v>1.4999999999999999E-2</c:v>
                  </c:pt>
                  <c:pt idx="3">
                    <c:v>2.4E-2</c:v>
                  </c:pt>
                  <c:pt idx="4">
                    <c:v>0.01</c:v>
                  </c:pt>
                  <c:pt idx="5">
                    <c:v>8.5999999999999993E-2</c:v>
                  </c:pt>
                  <c:pt idx="6">
                    <c:v>1.4999999999999999E-2</c:v>
                  </c:pt>
                  <c:pt idx="7">
                    <c:v>4.1000000000000002E-2</c:v>
                  </c:pt>
                  <c:pt idx="8">
                    <c:v>5.8999999999999997E-2</c:v>
                  </c:pt>
                  <c:pt idx="9">
                    <c:v>4.1000000000000002E-2</c:v>
                  </c:pt>
                  <c:pt idx="10">
                    <c:v>3.0000000000000001E-3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Graphs!$A$2:$A$12</c:f>
              <c:numCache>
                <c:formatCode>General</c:formatCode>
                <c:ptCount val="11"/>
                <c:pt idx="0">
                  <c:v>0</c:v>
                </c:pt>
                <c:pt idx="1">
                  <c:v>2.6</c:v>
                </c:pt>
                <c:pt idx="2">
                  <c:v>4.3</c:v>
                </c:pt>
                <c:pt idx="3">
                  <c:v>5.3</c:v>
                </c:pt>
                <c:pt idx="4">
                  <c:v>6.7</c:v>
                </c:pt>
                <c:pt idx="5">
                  <c:v>7.7</c:v>
                </c:pt>
                <c:pt idx="6">
                  <c:v>8.6</c:v>
                </c:pt>
                <c:pt idx="7">
                  <c:v>9.8000000000000007</c:v>
                </c:pt>
                <c:pt idx="8">
                  <c:v>11</c:v>
                </c:pt>
                <c:pt idx="9">
                  <c:v>11.5</c:v>
                </c:pt>
                <c:pt idx="10">
                  <c:v>11.9</c:v>
                </c:pt>
              </c:numCache>
            </c:numRef>
          </c:xVal>
          <c:yVal>
            <c:numRef>
              <c:f>Graphs!$C$2:$C$12</c:f>
              <c:numCache>
                <c:formatCode>0.00000</c:formatCode>
                <c:ptCount val="11"/>
                <c:pt idx="0">
                  <c:v>3.4000000000000002E-4</c:v>
                </c:pt>
                <c:pt idx="1">
                  <c:v>-9.0799999999999995E-3</c:v>
                </c:pt>
                <c:pt idx="2">
                  <c:v>7.0600000000000003E-3</c:v>
                </c:pt>
                <c:pt idx="3">
                  <c:v>1.678E-2</c:v>
                </c:pt>
                <c:pt idx="4">
                  <c:v>8.7399999999999995E-3</c:v>
                </c:pt>
                <c:pt idx="5">
                  <c:v>2.69E-2</c:v>
                </c:pt>
                <c:pt idx="6">
                  <c:v>2.8920000000000001E-2</c:v>
                </c:pt>
                <c:pt idx="7">
                  <c:v>2.0200000000000001E-3</c:v>
                </c:pt>
                <c:pt idx="8">
                  <c:v>6.8260000000000001E-2</c:v>
                </c:pt>
                <c:pt idx="9">
                  <c:v>1.244E-2</c:v>
                </c:pt>
                <c:pt idx="10">
                  <c:v>5.7200000000000003E-3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22-3544-BA8E-72F540070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086400"/>
        <c:axId val="350436384"/>
      </c:scatterChart>
      <c:valAx>
        <c:axId val="34608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Fan Speed /</a:t>
                </a:r>
                <a:r>
                  <a:rPr lang="en-US" baseline="0"/>
                  <a:t> </a:t>
                </a:r>
                <a:r>
                  <a:rPr lang="en-US"/>
                  <a:t>ms^-1</a:t>
                </a:r>
              </a:p>
            </c:rich>
          </c:tx>
          <c:layout>
            <c:manualLayout>
              <c:xMode val="edge"/>
              <c:yMode val="edge"/>
              <c:x val="0.45347451254360294"/>
              <c:y val="0.954026515916279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436384"/>
        <c:crosses val="autoZero"/>
        <c:crossBetween val="midCat"/>
      </c:valAx>
      <c:valAx>
        <c:axId val="35043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Horizontal Displacement /</a:t>
                </a:r>
                <a:r>
                  <a:rPr lang="en-US" baseline="0"/>
                  <a:t> 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08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615950</xdr:colOff>
      <xdr:row>14</xdr:row>
      <xdr:rowOff>177800</xdr:rowOff>
    </xdr:from>
    <xdr:to>
      <xdr:col>7</xdr:col>
      <xdr:colOff>774700</xdr:colOff>
      <xdr:row>47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CEC073-65BB-DCF2-253D-069EA96CB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11FB1-0AFC-BC40-9F85-6EB2BD01F322}">
  <dimension ref="A1:K1048546"/>
  <sheetViews>
    <sheetView workbookViewId="0">
      <selection activeCell="E62" sqref="E62"/>
    </sheetView>
  </sheetViews>
  <sheetFormatPr baseColWidth="10" defaultRowHeight="16" x14ac:dyDescent="0.2"/>
  <cols>
    <col min="1" max="2" width="10.83203125" style="1"/>
    <col min="3" max="3" width="15.5" style="1" customWidth="1"/>
    <col min="4" max="4" width="20.33203125" style="1" customWidth="1"/>
    <col min="5" max="5" width="37.5" style="1" customWidth="1"/>
    <col min="6" max="6" width="31.83203125" style="1" customWidth="1"/>
    <col min="7" max="7" width="18" style="1" customWidth="1"/>
    <col min="8" max="8" width="33.83203125" style="1" customWidth="1"/>
    <col min="9" max="9" width="38.83203125" style="1" customWidth="1"/>
    <col min="10" max="10" width="33.83203125" style="1" customWidth="1"/>
    <col min="11" max="16384" width="10.83203125" style="1"/>
  </cols>
  <sheetData>
    <row r="1" spans="1:11" ht="20" thickBot="1" x14ac:dyDescent="0.3">
      <c r="A1" s="21" t="s">
        <v>0</v>
      </c>
      <c r="B1" s="5" t="s">
        <v>1</v>
      </c>
      <c r="C1" s="5" t="s">
        <v>6</v>
      </c>
      <c r="D1" s="6" t="s">
        <v>5</v>
      </c>
      <c r="E1" s="45" t="s">
        <v>4</v>
      </c>
      <c r="F1" s="5" t="s">
        <v>3</v>
      </c>
      <c r="G1" s="5" t="s">
        <v>7</v>
      </c>
      <c r="H1" s="44" t="s">
        <v>17</v>
      </c>
      <c r="I1" s="44" t="s">
        <v>15</v>
      </c>
      <c r="J1" s="44" t="s">
        <v>8</v>
      </c>
      <c r="K1" s="6" t="s">
        <v>2</v>
      </c>
    </row>
    <row r="2" spans="1:11" x14ac:dyDescent="0.2">
      <c r="A2" s="37">
        <v>0</v>
      </c>
      <c r="B2" s="38">
        <v>1</v>
      </c>
      <c r="C2" s="39">
        <v>1.9000000000000001E-4</v>
      </c>
      <c r="D2" s="40">
        <v>-0.70899999999999996</v>
      </c>
      <c r="E2" s="41">
        <f>(D2+0.7)*100</f>
        <v>-0.9000000000000008</v>
      </c>
      <c r="F2" s="42">
        <v>-0.105</v>
      </c>
      <c r="G2" s="43">
        <f>0.667-0.2</f>
        <v>0.46700000000000003</v>
      </c>
      <c r="H2" s="48">
        <f>AVERAGE(E2:E4)/100</f>
        <v>3.3333333333333359E-4</v>
      </c>
      <c r="I2" s="46">
        <f>H2*1.0087</f>
        <v>3.3623333333333356E-4</v>
      </c>
      <c r="J2" s="34">
        <f>AVERAGE(G2:G4)</f>
        <v>0.45566666666666666</v>
      </c>
      <c r="K2" s="36">
        <f>_xlfn.STDEV.S(E2:E4)/100</f>
        <v>9.0184995056457953E-3</v>
      </c>
    </row>
    <row r="3" spans="1:11" x14ac:dyDescent="0.2">
      <c r="A3" s="28"/>
      <c r="B3" s="7">
        <v>2</v>
      </c>
      <c r="C3" s="9">
        <v>1.9000000000000001E-4</v>
      </c>
      <c r="D3" s="10">
        <v>-0.69899999999999995</v>
      </c>
      <c r="E3" s="13">
        <f t="shared" ref="E3:E34" si="0">(D3+0.7)*100</f>
        <v>0.10000000000000009</v>
      </c>
      <c r="F3" s="4">
        <v>-3.6799999999999999E-2</v>
      </c>
      <c r="G3" s="23">
        <f>0.7-0.2</f>
        <v>0.49999999999999994</v>
      </c>
      <c r="H3" s="49"/>
      <c r="I3" s="47"/>
      <c r="J3" s="34"/>
      <c r="K3" s="30"/>
    </row>
    <row r="4" spans="1:11" ht="17" thickBot="1" x14ac:dyDescent="0.25">
      <c r="A4" s="29"/>
      <c r="B4" s="8">
        <v>3</v>
      </c>
      <c r="C4" s="11">
        <v>1.9000000000000001E-4</v>
      </c>
      <c r="D4" s="12">
        <v>-0.69099999999999995</v>
      </c>
      <c r="E4" s="14">
        <f t="shared" si="0"/>
        <v>0.9000000000000008</v>
      </c>
      <c r="F4" s="15">
        <v>6.8500000000000005E-2</v>
      </c>
      <c r="G4" s="24">
        <f>0.7-0.3</f>
        <v>0.39999999999999997</v>
      </c>
      <c r="H4" s="50"/>
      <c r="I4" s="47"/>
      <c r="J4" s="35"/>
      <c r="K4" s="31"/>
    </row>
    <row r="5" spans="1:11" x14ac:dyDescent="0.2">
      <c r="A5" s="27">
        <v>1</v>
      </c>
      <c r="B5" s="16">
        <v>1</v>
      </c>
      <c r="C5" s="17">
        <v>1.9000000000000001E-4</v>
      </c>
      <c r="D5" s="18">
        <v>-0.70199999999999996</v>
      </c>
      <c r="E5" s="19">
        <f t="shared" si="0"/>
        <v>-0.20000000000000018</v>
      </c>
      <c r="F5" s="20">
        <v>7.3150000000000007E-2</v>
      </c>
      <c r="G5" s="22">
        <f>0.733-0.233</f>
        <v>0.5</v>
      </c>
      <c r="H5" s="48">
        <f t="shared" ref="H5" si="1">AVERAGE(E5:E7)/100</f>
        <v>-9.000000000000008E-3</v>
      </c>
      <c r="I5" s="46">
        <f t="shared" ref="I5" si="2">H5*1.0087</f>
        <v>-9.0783000000000079E-3</v>
      </c>
      <c r="J5" s="33">
        <f t="shared" ref="J5" si="3">AVERAGE(G5:G7)</f>
        <v>0.48900000000000005</v>
      </c>
      <c r="K5" s="36">
        <f t="shared" ref="K5" si="4">_xlfn.STDEV.S(E5:E7)/100</f>
        <v>8.8881944173155956E-3</v>
      </c>
    </row>
    <row r="6" spans="1:11" x14ac:dyDescent="0.2">
      <c r="A6" s="28"/>
      <c r="B6" s="7">
        <v>2</v>
      </c>
      <c r="C6" s="9">
        <v>1.9000000000000001E-4</v>
      </c>
      <c r="D6" s="10">
        <v>-0.71899999999999997</v>
      </c>
      <c r="E6" s="13">
        <f t="shared" si="0"/>
        <v>-1.9000000000000017</v>
      </c>
      <c r="F6" s="4">
        <v>-6.0729999999999999E-2</v>
      </c>
      <c r="G6" s="23">
        <f>0.8-0.333</f>
        <v>0.46700000000000003</v>
      </c>
      <c r="H6" s="49"/>
      <c r="I6" s="47"/>
      <c r="J6" s="34"/>
      <c r="K6" s="30"/>
    </row>
    <row r="7" spans="1:11" ht="17" thickBot="1" x14ac:dyDescent="0.25">
      <c r="A7" s="29"/>
      <c r="B7" s="8">
        <v>3</v>
      </c>
      <c r="C7" s="11">
        <v>1.9000000000000001E-4</v>
      </c>
      <c r="D7" s="12">
        <v>-0.70599999999999996</v>
      </c>
      <c r="E7" s="14">
        <f t="shared" si="0"/>
        <v>-0.60000000000000053</v>
      </c>
      <c r="F7" s="15">
        <v>1.1809999999999999E-2</v>
      </c>
      <c r="G7" s="24">
        <f>0.6-0.1</f>
        <v>0.5</v>
      </c>
      <c r="H7" s="50"/>
      <c r="I7" s="47"/>
      <c r="J7" s="35"/>
      <c r="K7" s="31"/>
    </row>
    <row r="8" spans="1:11" x14ac:dyDescent="0.2">
      <c r="A8" s="27">
        <v>2</v>
      </c>
      <c r="B8" s="16">
        <v>1</v>
      </c>
      <c r="C8" s="17">
        <v>1.9000000000000001E-4</v>
      </c>
      <c r="D8" s="18">
        <v>-0.69699999999999995</v>
      </c>
      <c r="E8" s="19">
        <f t="shared" si="0"/>
        <v>0.30000000000000027</v>
      </c>
      <c r="F8" s="20">
        <v>-0.109</v>
      </c>
      <c r="G8" s="22">
        <f>0.667-0.167</f>
        <v>0.5</v>
      </c>
      <c r="H8" s="48">
        <f t="shared" ref="H8" si="5">AVERAGE(E8:E10)/100</f>
        <v>6.9999999999999698E-3</v>
      </c>
      <c r="I8" s="46">
        <f t="shared" ref="I8" si="6">H8*1.0087</f>
        <v>7.0608999999999689E-3</v>
      </c>
      <c r="J8" s="33">
        <f t="shared" ref="J8" si="7">AVERAGE(G8:G10)</f>
        <v>0.48900000000000005</v>
      </c>
      <c r="K8" s="36">
        <f t="shared" ref="K8" si="8">_xlfn.STDEV.S(E8:E10)/100</f>
        <v>1.5394804318340605E-2</v>
      </c>
    </row>
    <row r="9" spans="1:11" x14ac:dyDescent="0.2">
      <c r="A9" s="28"/>
      <c r="B9" s="7">
        <v>2</v>
      </c>
      <c r="C9" s="9">
        <v>1.9000000000000001E-4</v>
      </c>
      <c r="D9" s="10">
        <v>-0.67600000000000005</v>
      </c>
      <c r="E9" s="13">
        <f t="shared" si="0"/>
        <v>2.399999999999991</v>
      </c>
      <c r="F9" s="4">
        <v>-3.1040000000000002E-2</v>
      </c>
      <c r="G9" s="23">
        <f>0.8-0.3</f>
        <v>0.5</v>
      </c>
      <c r="H9" s="49"/>
      <c r="I9" s="47"/>
      <c r="J9" s="34"/>
      <c r="K9" s="30"/>
    </row>
    <row r="10" spans="1:11" ht="17" thickBot="1" x14ac:dyDescent="0.25">
      <c r="A10" s="29"/>
      <c r="B10" s="8">
        <v>3</v>
      </c>
      <c r="C10" s="11">
        <v>1.9000000000000001E-4</v>
      </c>
      <c r="D10" s="12">
        <v>-0.70599999999999996</v>
      </c>
      <c r="E10" s="14">
        <f t="shared" si="0"/>
        <v>-0.60000000000000053</v>
      </c>
      <c r="F10" s="15">
        <v>-8.6849999999999997E-2</v>
      </c>
      <c r="G10" s="24">
        <f>0.5-0.033</f>
        <v>0.46699999999999997</v>
      </c>
      <c r="H10" s="50"/>
      <c r="I10" s="47"/>
      <c r="J10" s="35"/>
      <c r="K10" s="31"/>
    </row>
    <row r="11" spans="1:11" x14ac:dyDescent="0.2">
      <c r="A11" s="27">
        <v>3</v>
      </c>
      <c r="B11" s="16">
        <v>1</v>
      </c>
      <c r="C11" s="17">
        <v>1.9000000000000001E-4</v>
      </c>
      <c r="D11" s="18">
        <v>-0.66400000000000003</v>
      </c>
      <c r="E11" s="19">
        <f t="shared" si="0"/>
        <v>3.5999999999999921</v>
      </c>
      <c r="F11" s="20">
        <v>9.7540000000000002E-2</v>
      </c>
      <c r="G11" s="22">
        <f>0.9-0.367</f>
        <v>0.53300000000000003</v>
      </c>
      <c r="H11" s="48">
        <f t="shared" ref="H11" si="9">AVERAGE(E11:E13)/100</f>
        <v>1.6633333333333278E-2</v>
      </c>
      <c r="I11" s="46">
        <f t="shared" ref="I11" si="10">H11*1.0087</f>
        <v>1.6778043333333277E-2</v>
      </c>
      <c r="J11" s="33">
        <f t="shared" ref="J11" si="11">AVERAGE(G11:G13)</f>
        <v>0.53333333333333333</v>
      </c>
      <c r="K11" s="36">
        <f t="shared" ref="K11" si="12">_xlfn.STDEV.S(E11:E13)/100</f>
        <v>2.3845404868303902E-2</v>
      </c>
    </row>
    <row r="12" spans="1:11" x14ac:dyDescent="0.2">
      <c r="A12" s="28"/>
      <c r="B12" s="7">
        <v>2</v>
      </c>
      <c r="C12" s="9">
        <v>1.9000000000000001E-4</v>
      </c>
      <c r="D12" s="10">
        <v>-0.67610000000000003</v>
      </c>
      <c r="E12" s="13">
        <f t="shared" si="0"/>
        <v>2.3899999999999921</v>
      </c>
      <c r="F12" s="4">
        <v>0.18</v>
      </c>
      <c r="G12" s="23">
        <f>0.667-0.167</f>
        <v>0.5</v>
      </c>
      <c r="H12" s="49"/>
      <c r="I12" s="47"/>
      <c r="J12" s="34"/>
      <c r="K12" s="30"/>
    </row>
    <row r="13" spans="1:11" ht="17" thickBot="1" x14ac:dyDescent="0.25">
      <c r="A13" s="29"/>
      <c r="B13" s="8">
        <v>3</v>
      </c>
      <c r="C13" s="11">
        <v>1.9000000000000001E-4</v>
      </c>
      <c r="D13" s="12">
        <v>-0.71</v>
      </c>
      <c r="E13" s="14">
        <f t="shared" si="0"/>
        <v>-1.0000000000000009</v>
      </c>
      <c r="F13" s="15">
        <v>-4.7E-2</v>
      </c>
      <c r="G13" s="24">
        <f>0.9-0.333</f>
        <v>0.56699999999999995</v>
      </c>
      <c r="H13" s="50"/>
      <c r="I13" s="47"/>
      <c r="J13" s="35"/>
      <c r="K13" s="31"/>
    </row>
    <row r="14" spans="1:11" x14ac:dyDescent="0.2">
      <c r="A14" s="27">
        <v>4</v>
      </c>
      <c r="B14" s="16">
        <v>1</v>
      </c>
      <c r="C14" s="17">
        <v>1.9000000000000001E-4</v>
      </c>
      <c r="D14" s="18">
        <v>-0.70299999999999996</v>
      </c>
      <c r="E14" s="19">
        <f>(D14+0.7)*100</f>
        <v>-0.30000000000000027</v>
      </c>
      <c r="F14" s="20">
        <v>-0.18099999999999999</v>
      </c>
      <c r="G14" s="22">
        <f>0.733-0.2</f>
        <v>0.53299999999999992</v>
      </c>
      <c r="H14" s="48">
        <f t="shared" ref="H14" si="13">AVERAGE(E14:E16)/100</f>
        <v>8.6666666666666003E-3</v>
      </c>
      <c r="I14" s="46">
        <f t="shared" ref="I14" si="14">H14*1.0087</f>
        <v>8.7420666666665984E-3</v>
      </c>
      <c r="J14" s="33">
        <f t="shared" ref="J14" si="15">AVERAGE(G14:G16)</f>
        <v>0.47766666666666663</v>
      </c>
      <c r="K14" s="36">
        <f t="shared" ref="K14" si="16">_xlfn.STDEV.S(E14:E16)/100</f>
        <v>1.0214368964029654E-2</v>
      </c>
    </row>
    <row r="15" spans="1:11" x14ac:dyDescent="0.2">
      <c r="A15" s="28"/>
      <c r="B15" s="7">
        <v>2</v>
      </c>
      <c r="C15" s="9">
        <v>1.9000000000000001E-4</v>
      </c>
      <c r="D15" s="10">
        <v>-0.68400000000000005</v>
      </c>
      <c r="E15" s="13">
        <f>(D15+0.7)*100</f>
        <v>1.5999999999999903</v>
      </c>
      <c r="F15" s="4">
        <v>2.7689999999999999E-2</v>
      </c>
      <c r="G15" s="23">
        <f>0.767-0.267</f>
        <v>0.5</v>
      </c>
      <c r="H15" s="49"/>
      <c r="I15" s="47"/>
      <c r="J15" s="34"/>
      <c r="K15" s="30"/>
    </row>
    <row r="16" spans="1:11" ht="17" thickBot="1" x14ac:dyDescent="0.25">
      <c r="A16" s="29"/>
      <c r="B16" s="8">
        <v>3</v>
      </c>
      <c r="C16" s="11">
        <v>1.9000000000000001E-4</v>
      </c>
      <c r="D16" s="12">
        <v>-0.68700000000000006</v>
      </c>
      <c r="E16" s="14">
        <f t="shared" si="0"/>
        <v>1.2999999999999901</v>
      </c>
      <c r="F16" s="15">
        <v>0.17100000000000001</v>
      </c>
      <c r="G16" s="24">
        <f>0.7-0.3</f>
        <v>0.39999999999999997</v>
      </c>
      <c r="H16" s="50"/>
      <c r="I16" s="47"/>
      <c r="J16" s="35"/>
      <c r="K16" s="31"/>
    </row>
    <row r="17" spans="1:11" x14ac:dyDescent="0.2">
      <c r="A17" s="27">
        <v>5</v>
      </c>
      <c r="B17" s="16">
        <v>1</v>
      </c>
      <c r="C17" s="17">
        <v>1.9000000000000001E-4</v>
      </c>
      <c r="D17" s="18">
        <v>-0.61099999999999999</v>
      </c>
      <c r="E17" s="19">
        <f t="shared" si="0"/>
        <v>8.8999999999999968</v>
      </c>
      <c r="F17" s="20">
        <v>0.25</v>
      </c>
      <c r="G17" s="22">
        <f>0.533-0.033</f>
        <v>0.5</v>
      </c>
      <c r="H17" s="48">
        <f t="shared" ref="H17" si="17">AVERAGE(E17:E19)/100</f>
        <v>2.6666666666666613E-2</v>
      </c>
      <c r="I17" s="46">
        <f t="shared" ref="I17" si="18">H17*1.0087</f>
        <v>2.6898666666666609E-2</v>
      </c>
      <c r="J17" s="33">
        <f t="shared" ref="J17" si="19">AVERAGE(G17:G19)</f>
        <v>0.55533333333333335</v>
      </c>
      <c r="K17" s="36">
        <f t="shared" ref="K17" si="20">_xlfn.STDEV.S(E17:E19)/100</f>
        <v>8.5652398292945284E-2</v>
      </c>
    </row>
    <row r="18" spans="1:11" x14ac:dyDescent="0.2">
      <c r="A18" s="28"/>
      <c r="B18" s="7">
        <v>2</v>
      </c>
      <c r="C18" s="9">
        <v>1.9000000000000001E-4</v>
      </c>
      <c r="D18" s="10">
        <v>-0.63800000000000001</v>
      </c>
      <c r="E18" s="13">
        <f t="shared" si="0"/>
        <v>6.199999999999994</v>
      </c>
      <c r="F18" s="4">
        <v>-9.1910000000000006E-2</v>
      </c>
      <c r="G18" s="23">
        <f>0.633-0.067</f>
        <v>0.56600000000000006</v>
      </c>
      <c r="H18" s="49"/>
      <c r="I18" s="47"/>
      <c r="J18" s="34"/>
      <c r="K18" s="30"/>
    </row>
    <row r="19" spans="1:11" ht="17" thickBot="1" x14ac:dyDescent="0.25">
      <c r="A19" s="29"/>
      <c r="B19" s="8">
        <v>3</v>
      </c>
      <c r="C19" s="11">
        <v>1.9000000000000001E-4</v>
      </c>
      <c r="D19" s="12">
        <v>-0.77100000000000002</v>
      </c>
      <c r="E19" s="14">
        <f t="shared" si="0"/>
        <v>-7.1000000000000068</v>
      </c>
      <c r="F19" s="15">
        <v>-0.32700000000000001</v>
      </c>
      <c r="G19" s="24">
        <f>0.767-0.167</f>
        <v>0.6</v>
      </c>
      <c r="H19" s="50"/>
      <c r="I19" s="47"/>
      <c r="J19" s="35"/>
      <c r="K19" s="31"/>
    </row>
    <row r="20" spans="1:11" x14ac:dyDescent="0.2">
      <c r="A20" s="27">
        <v>6</v>
      </c>
      <c r="B20" s="16">
        <v>1</v>
      </c>
      <c r="C20" s="17">
        <v>1.9000000000000001E-4</v>
      </c>
      <c r="D20" s="18">
        <v>-0.66400000000000003</v>
      </c>
      <c r="E20" s="19">
        <f t="shared" si="0"/>
        <v>3.5999999999999921</v>
      </c>
      <c r="F20" s="20">
        <v>0.17</v>
      </c>
      <c r="G20" s="22">
        <f>0.733-0.233</f>
        <v>0.5</v>
      </c>
      <c r="H20" s="48">
        <f t="shared" ref="H20" si="21">AVERAGE(E20:E22)/100</f>
        <v>2.8666666666666618E-2</v>
      </c>
      <c r="I20" s="46">
        <f t="shared" ref="I20" si="22">H20*1.0087</f>
        <v>2.8916066666666615E-2</v>
      </c>
      <c r="J20" s="33">
        <f t="shared" ref="J20" si="23">AVERAGE(G20:G22)</f>
        <v>0.56666666666666665</v>
      </c>
      <c r="K20" s="36">
        <f t="shared" ref="K20" si="24">_xlfn.STDEV.S(E20:E22)/100</f>
        <v>1.5373136743466888E-2</v>
      </c>
    </row>
    <row r="21" spans="1:11" x14ac:dyDescent="0.2">
      <c r="A21" s="28"/>
      <c r="B21" s="7">
        <v>2</v>
      </c>
      <c r="C21" s="9">
        <v>1.9000000000000001E-4</v>
      </c>
      <c r="D21" s="10">
        <v>-0.68899999999999995</v>
      </c>
      <c r="E21" s="13">
        <f t="shared" si="0"/>
        <v>1.100000000000001</v>
      </c>
      <c r="F21" s="4">
        <v>-0.14000000000000001</v>
      </c>
      <c r="G21" s="23">
        <f>0.833-0.2</f>
        <v>0.63300000000000001</v>
      </c>
      <c r="H21" s="49"/>
      <c r="I21" s="47"/>
      <c r="J21" s="34"/>
      <c r="K21" s="30"/>
    </row>
    <row r="22" spans="1:11" ht="17" thickBot="1" x14ac:dyDescent="0.25">
      <c r="A22" s="29"/>
      <c r="B22" s="8">
        <v>3</v>
      </c>
      <c r="C22" s="11">
        <v>1.9000000000000001E-4</v>
      </c>
      <c r="D22" s="12">
        <v>-0.66100000000000003</v>
      </c>
      <c r="E22" s="14">
        <f t="shared" si="0"/>
        <v>3.8999999999999924</v>
      </c>
      <c r="F22" s="15">
        <v>3.107E-2</v>
      </c>
      <c r="G22" s="24">
        <f>0.767-0.2</f>
        <v>0.56699999999999995</v>
      </c>
      <c r="H22" s="50"/>
      <c r="I22" s="47"/>
      <c r="J22" s="35"/>
      <c r="K22" s="31"/>
    </row>
    <row r="23" spans="1:11" x14ac:dyDescent="0.2">
      <c r="A23" s="27">
        <v>7</v>
      </c>
      <c r="B23" s="16">
        <v>1</v>
      </c>
      <c r="C23" s="17">
        <v>1.9000000000000001E-4</v>
      </c>
      <c r="D23" s="18">
        <v>-0.70499999999999996</v>
      </c>
      <c r="E23" s="19">
        <f t="shared" si="0"/>
        <v>-0.50000000000000044</v>
      </c>
      <c r="F23" s="20">
        <v>-1.5559999999999999E-2</v>
      </c>
      <c r="G23" s="22">
        <f>0.867-0.333</f>
        <v>0.53400000000000003</v>
      </c>
      <c r="H23" s="48">
        <f t="shared" ref="H23" si="25">AVERAGE(E23:E25)/100</f>
        <v>1.9999999999999649E-3</v>
      </c>
      <c r="I23" s="46">
        <f t="shared" ref="I23" si="26">H23*1.0087</f>
        <v>2.0173999999999644E-3</v>
      </c>
      <c r="J23" s="33">
        <f t="shared" ref="J23" si="27">AVERAGE(G23:G25)</f>
        <v>0.52233333333333343</v>
      </c>
      <c r="K23" s="36">
        <f t="shared" ref="K23" si="28">_xlfn.STDEV.S(E23:E25)/100</f>
        <v>4.0951190458886517E-2</v>
      </c>
    </row>
    <row r="24" spans="1:11" x14ac:dyDescent="0.2">
      <c r="A24" s="28"/>
      <c r="B24" s="7">
        <v>2</v>
      </c>
      <c r="C24" s="9">
        <v>1.9000000000000001E-4</v>
      </c>
      <c r="D24" s="10">
        <v>-0.65400000000000003</v>
      </c>
      <c r="E24" s="13">
        <f t="shared" si="0"/>
        <v>4.5999999999999925</v>
      </c>
      <c r="F24" s="4">
        <v>-0.314</v>
      </c>
      <c r="G24" s="23">
        <f>0.733-0.233</f>
        <v>0.5</v>
      </c>
      <c r="H24" s="49"/>
      <c r="I24" s="47"/>
      <c r="J24" s="34"/>
      <c r="K24" s="30"/>
    </row>
    <row r="25" spans="1:11" ht="17" thickBot="1" x14ac:dyDescent="0.25">
      <c r="A25" s="29"/>
      <c r="B25" s="8">
        <v>3</v>
      </c>
      <c r="C25" s="11">
        <v>1.9000000000000001E-4</v>
      </c>
      <c r="D25" s="12">
        <v>-0.73499999999999999</v>
      </c>
      <c r="E25" s="14">
        <f t="shared" si="0"/>
        <v>-3.5000000000000031</v>
      </c>
      <c r="F25" s="15">
        <v>-0.59099999999999997</v>
      </c>
      <c r="G25" s="24">
        <f>0.8-0.267</f>
        <v>0.53300000000000003</v>
      </c>
      <c r="H25" s="50"/>
      <c r="I25" s="47"/>
      <c r="J25" s="35"/>
      <c r="K25" s="31"/>
    </row>
    <row r="26" spans="1:11" x14ac:dyDescent="0.2">
      <c r="A26" s="27">
        <v>8</v>
      </c>
      <c r="B26" s="16">
        <v>1</v>
      </c>
      <c r="C26" s="17">
        <v>1.9000000000000001E-4</v>
      </c>
      <c r="D26" s="18">
        <v>-0.66100000000000003</v>
      </c>
      <c r="E26" s="19">
        <f t="shared" si="0"/>
        <v>3.8999999999999924</v>
      </c>
      <c r="F26" s="20">
        <v>6.9940000000000002E-2</v>
      </c>
      <c r="G26" s="22">
        <f>0.733-0.167</f>
        <v>0.56599999999999995</v>
      </c>
      <c r="H26" s="48">
        <f t="shared" ref="H26" si="29">AVERAGE(E26:E28)/100</f>
        <v>6.7666666666666611E-2</v>
      </c>
      <c r="I26" s="46">
        <f t="shared" ref="I26" si="30">H26*1.0087</f>
        <v>6.8255366666666609E-2</v>
      </c>
      <c r="J26" s="33">
        <f t="shared" ref="J26" si="31">AVERAGE(G26:G28)</f>
        <v>0.54433333333333334</v>
      </c>
      <c r="K26" s="36">
        <f t="shared" ref="K26" si="32">_xlfn.STDEV.S(E26:E28)/100</f>
        <v>5.8526347343169638E-2</v>
      </c>
    </row>
    <row r="27" spans="1:11" x14ac:dyDescent="0.2">
      <c r="A27" s="28"/>
      <c r="B27" s="7">
        <v>2</v>
      </c>
      <c r="C27" s="9">
        <v>1.9000000000000001E-4</v>
      </c>
      <c r="D27" s="10">
        <v>-0.56499999999999995</v>
      </c>
      <c r="E27" s="13">
        <f t="shared" si="0"/>
        <v>13.5</v>
      </c>
      <c r="F27" s="4">
        <v>9.7350000000000006E-2</v>
      </c>
      <c r="G27" s="23">
        <f>0.6-0.033</f>
        <v>0.56699999999999995</v>
      </c>
      <c r="H27" s="49"/>
      <c r="I27" s="47"/>
      <c r="J27" s="34"/>
      <c r="K27" s="30"/>
    </row>
    <row r="28" spans="1:11" ht="17" thickBot="1" x14ac:dyDescent="0.25">
      <c r="A28" s="29"/>
      <c r="B28" s="8">
        <v>3</v>
      </c>
      <c r="C28" s="11">
        <v>1.9000000000000001E-4</v>
      </c>
      <c r="D28" s="12">
        <v>-0.67100000000000004</v>
      </c>
      <c r="E28" s="14">
        <f t="shared" si="0"/>
        <v>2.8999999999999915</v>
      </c>
      <c r="F28" s="15">
        <v>0.23200000000000001</v>
      </c>
      <c r="G28" s="24">
        <f>0.733-0.233</f>
        <v>0.5</v>
      </c>
      <c r="H28" s="50"/>
      <c r="I28" s="47"/>
      <c r="J28" s="35"/>
      <c r="K28" s="31"/>
    </row>
    <row r="29" spans="1:11" x14ac:dyDescent="0.2">
      <c r="A29" s="27">
        <v>9</v>
      </c>
      <c r="B29" s="16">
        <v>1</v>
      </c>
      <c r="C29" s="17">
        <v>1.9000000000000001E-4</v>
      </c>
      <c r="D29" s="18">
        <v>-0.64600000000000002</v>
      </c>
      <c r="E29" s="19">
        <f t="shared" si="0"/>
        <v>5.3999999999999932</v>
      </c>
      <c r="F29" s="20">
        <v>9.3329999999999996E-2</v>
      </c>
      <c r="G29" s="22">
        <f>0.6-0.033</f>
        <v>0.56699999999999995</v>
      </c>
      <c r="H29" s="48">
        <f t="shared" ref="H29" si="33">AVERAGE(E29:E31)/100</f>
        <v>1.2333333333333306E-2</v>
      </c>
      <c r="I29" s="46">
        <f t="shared" ref="I29" si="34">H29*1.0087</f>
        <v>1.2440633333333305E-2</v>
      </c>
      <c r="J29" s="33">
        <f t="shared" ref="J29" si="35">AVERAGE(G29:G31)</f>
        <v>0.52233333333333321</v>
      </c>
      <c r="K29" s="36">
        <f t="shared" ref="K29" si="36">_xlfn.STDEV.S(E29:E31)/100</f>
        <v>4.0550380187284699E-2</v>
      </c>
    </row>
    <row r="30" spans="1:11" x14ac:dyDescent="0.2">
      <c r="A30" s="28"/>
      <c r="B30" s="7">
        <v>2</v>
      </c>
      <c r="C30" s="9">
        <v>1.9000000000000001E-4</v>
      </c>
      <c r="D30" s="10">
        <v>-0.69</v>
      </c>
      <c r="E30" s="13">
        <f t="shared" si="0"/>
        <v>1.0000000000000009</v>
      </c>
      <c r="F30" s="4">
        <v>9.6960000000000005E-2</v>
      </c>
      <c r="G30" s="23">
        <f>0.733-0.2</f>
        <v>0.53299999999999992</v>
      </c>
      <c r="H30" s="49"/>
      <c r="I30" s="47"/>
      <c r="J30" s="34"/>
      <c r="K30" s="30"/>
    </row>
    <row r="31" spans="1:11" ht="17" thickBot="1" x14ac:dyDescent="0.25">
      <c r="A31" s="29"/>
      <c r="B31" s="8">
        <v>3</v>
      </c>
      <c r="C31" s="11">
        <v>1.9000000000000001E-4</v>
      </c>
      <c r="D31" s="12">
        <v>-0.72699999999999998</v>
      </c>
      <c r="E31" s="14">
        <f t="shared" si="0"/>
        <v>-2.7000000000000024</v>
      </c>
      <c r="F31" s="15">
        <v>-0.109</v>
      </c>
      <c r="G31" s="24">
        <f>0.6-0.133</f>
        <v>0.46699999999999997</v>
      </c>
      <c r="H31" s="50"/>
      <c r="I31" s="47"/>
      <c r="J31" s="35"/>
      <c r="K31" s="31"/>
    </row>
    <row r="32" spans="1:11" x14ac:dyDescent="0.2">
      <c r="A32" s="27">
        <v>10</v>
      </c>
      <c r="B32" s="16">
        <v>1</v>
      </c>
      <c r="C32" s="17">
        <v>1.9000000000000001E-4</v>
      </c>
      <c r="D32" s="18">
        <v>-0.69499999999999995</v>
      </c>
      <c r="E32" s="19">
        <f t="shared" si="0"/>
        <v>0.50000000000000044</v>
      </c>
      <c r="F32" s="20">
        <v>-3.107E-2</v>
      </c>
      <c r="G32" s="22">
        <f>0.7-0.3</f>
        <v>0.39999999999999997</v>
      </c>
      <c r="H32" s="48">
        <f t="shared" ref="H32" si="37">AVERAGE(E32:E34)/100</f>
        <v>5.6666666666666723E-3</v>
      </c>
      <c r="I32" s="46">
        <f t="shared" ref="I32" si="38">H32*1.0087</f>
        <v>5.7159666666666718E-3</v>
      </c>
      <c r="J32" s="33">
        <f t="shared" ref="J32" si="39">AVERAGE(G32:G34)</f>
        <v>0.48866666666666664</v>
      </c>
      <c r="K32" s="36">
        <f t="shared" ref="K32" si="40">_xlfn.STDEV.S(E32:E34)/100</f>
        <v>3.0550504633038949E-3</v>
      </c>
    </row>
    <row r="33" spans="1:11" x14ac:dyDescent="0.2">
      <c r="A33" s="28"/>
      <c r="B33" s="7">
        <v>2</v>
      </c>
      <c r="C33" s="9">
        <v>1.9000000000000001E-4</v>
      </c>
      <c r="D33" s="10">
        <v>-0.69099999999999995</v>
      </c>
      <c r="E33" s="13">
        <f t="shared" si="0"/>
        <v>0.9000000000000008</v>
      </c>
      <c r="F33" s="4">
        <v>-0.109</v>
      </c>
      <c r="G33" s="23">
        <f>0.633-0.067</f>
        <v>0.56600000000000006</v>
      </c>
      <c r="H33" s="49"/>
      <c r="I33" s="47"/>
      <c r="J33" s="34"/>
      <c r="K33" s="30"/>
    </row>
    <row r="34" spans="1:11" ht="17" thickBot="1" x14ac:dyDescent="0.25">
      <c r="A34" s="29"/>
      <c r="B34" s="8">
        <v>3</v>
      </c>
      <c r="C34" s="11">
        <v>1.9000000000000001E-4</v>
      </c>
      <c r="D34" s="12">
        <v>-0.69699999999999995</v>
      </c>
      <c r="E34" s="14">
        <f t="shared" si="0"/>
        <v>0.30000000000000027</v>
      </c>
      <c r="F34" s="15">
        <v>-4.6460000000000001E-2</v>
      </c>
      <c r="G34" s="24">
        <f>0.8-0.3</f>
        <v>0.5</v>
      </c>
      <c r="H34" s="50"/>
      <c r="I34" s="47"/>
      <c r="J34" s="35"/>
      <c r="K34" s="31"/>
    </row>
    <row r="35" spans="1:11" x14ac:dyDescent="0.2">
      <c r="B35" s="2"/>
      <c r="C35" s="2"/>
      <c r="D35" s="2"/>
    </row>
    <row r="36" spans="1:11" x14ac:dyDescent="0.2">
      <c r="B36" s="2"/>
      <c r="C36" s="2"/>
      <c r="D36" s="2"/>
    </row>
    <row r="37" spans="1:11" x14ac:dyDescent="0.2">
      <c r="B37" s="2"/>
      <c r="C37" s="2"/>
      <c r="D37" s="2"/>
    </row>
    <row r="1048546" spans="5:7" x14ac:dyDescent="0.2">
      <c r="E1048546" s="3"/>
      <c r="F1048546" s="3"/>
      <c r="G1048546" s="3"/>
    </row>
  </sheetData>
  <mergeCells count="55">
    <mergeCell ref="I17:I19"/>
    <mergeCell ref="I20:I22"/>
    <mergeCell ref="I23:I25"/>
    <mergeCell ref="I26:I28"/>
    <mergeCell ref="I29:I31"/>
    <mergeCell ref="I2:I4"/>
    <mergeCell ref="I5:I7"/>
    <mergeCell ref="I8:I10"/>
    <mergeCell ref="I11:I13"/>
    <mergeCell ref="I14:I16"/>
    <mergeCell ref="J8:J10"/>
    <mergeCell ref="J11:J13"/>
    <mergeCell ref="J14:J16"/>
    <mergeCell ref="J17:J19"/>
    <mergeCell ref="J20:J22"/>
    <mergeCell ref="K23:K25"/>
    <mergeCell ref="K26:K28"/>
    <mergeCell ref="K29:K31"/>
    <mergeCell ref="K32:K34"/>
    <mergeCell ref="H26:H28"/>
    <mergeCell ref="H29:H31"/>
    <mergeCell ref="H32:H34"/>
    <mergeCell ref="H23:H25"/>
    <mergeCell ref="J23:J25"/>
    <mergeCell ref="J26:J28"/>
    <mergeCell ref="J29:J31"/>
    <mergeCell ref="J32:J34"/>
    <mergeCell ref="I32:I34"/>
    <mergeCell ref="K17:K19"/>
    <mergeCell ref="K20:K22"/>
    <mergeCell ref="H2:H4"/>
    <mergeCell ref="H5:H7"/>
    <mergeCell ref="H8:H10"/>
    <mergeCell ref="H11:H13"/>
    <mergeCell ref="H14:H16"/>
    <mergeCell ref="H17:H19"/>
    <mergeCell ref="H20:H22"/>
    <mergeCell ref="K2:K4"/>
    <mergeCell ref="K5:K7"/>
    <mergeCell ref="K8:K10"/>
    <mergeCell ref="K11:K13"/>
    <mergeCell ref="K14:K16"/>
    <mergeCell ref="J2:J4"/>
    <mergeCell ref="J5:J7"/>
    <mergeCell ref="A32:A34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</mergeCells>
  <pageMargins left="0.7" right="0.7" top="0.75" bottom="0.75" header="0.3" footer="0.3"/>
  <pageSetup orientation="portrait" horizontalDpi="0" verticalDpi="0"/>
  <ignoredErrors>
    <ignoredError sqref="G2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16E58-952A-BA48-9D11-76F85671EEC7}">
  <dimension ref="A1:C12"/>
  <sheetViews>
    <sheetView workbookViewId="0">
      <selection activeCell="C37" sqref="C37"/>
    </sheetView>
  </sheetViews>
  <sheetFormatPr baseColWidth="10" defaultRowHeight="16" x14ac:dyDescent="0.2"/>
  <cols>
    <col min="1" max="1" width="12.33203125" style="1" customWidth="1"/>
    <col min="2" max="2" width="24.5" style="1" customWidth="1"/>
    <col min="3" max="3" width="29" style="1" customWidth="1"/>
    <col min="4" max="16384" width="10.83203125" style="1"/>
  </cols>
  <sheetData>
    <row r="1" spans="1:3" ht="19" x14ac:dyDescent="0.2">
      <c r="A1" s="25" t="s">
        <v>9</v>
      </c>
      <c r="B1" s="25" t="s">
        <v>10</v>
      </c>
      <c r="C1" s="25" t="s">
        <v>11</v>
      </c>
    </row>
    <row r="2" spans="1:3" x14ac:dyDescent="0.2">
      <c r="A2" s="1">
        <v>0</v>
      </c>
      <c r="B2" s="1">
        <v>0</v>
      </c>
      <c r="C2" s="26">
        <f>B2*0.05</f>
        <v>0</v>
      </c>
    </row>
    <row r="3" spans="1:3" x14ac:dyDescent="0.2">
      <c r="A3" s="1">
        <v>1</v>
      </c>
      <c r="B3" s="1">
        <v>2.6</v>
      </c>
      <c r="C3" s="26">
        <f t="shared" ref="C3:C12" si="0">B3*0.05</f>
        <v>0.13</v>
      </c>
    </row>
    <row r="4" spans="1:3" x14ac:dyDescent="0.2">
      <c r="A4" s="1">
        <v>2</v>
      </c>
      <c r="B4" s="1">
        <v>4.3</v>
      </c>
      <c r="C4" s="26">
        <f t="shared" si="0"/>
        <v>0.215</v>
      </c>
    </row>
    <row r="5" spans="1:3" x14ac:dyDescent="0.2">
      <c r="A5" s="1">
        <v>3</v>
      </c>
      <c r="B5" s="1">
        <v>5.3</v>
      </c>
      <c r="C5" s="26">
        <f t="shared" si="0"/>
        <v>0.26500000000000001</v>
      </c>
    </row>
    <row r="6" spans="1:3" x14ac:dyDescent="0.2">
      <c r="A6" s="1">
        <v>4</v>
      </c>
      <c r="B6" s="1">
        <v>6.7</v>
      </c>
      <c r="C6" s="26">
        <f t="shared" si="0"/>
        <v>0.33500000000000002</v>
      </c>
    </row>
    <row r="7" spans="1:3" x14ac:dyDescent="0.2">
      <c r="A7" s="1">
        <v>5</v>
      </c>
      <c r="B7" s="1">
        <v>7.7</v>
      </c>
      <c r="C7" s="26">
        <f t="shared" si="0"/>
        <v>0.38500000000000001</v>
      </c>
    </row>
    <row r="8" spans="1:3" x14ac:dyDescent="0.2">
      <c r="A8" s="1">
        <v>6</v>
      </c>
      <c r="B8" s="1">
        <v>8.6</v>
      </c>
      <c r="C8" s="26">
        <f t="shared" si="0"/>
        <v>0.43</v>
      </c>
    </row>
    <row r="9" spans="1:3" x14ac:dyDescent="0.2">
      <c r="A9" s="1">
        <v>7</v>
      </c>
      <c r="B9" s="1">
        <v>9.8000000000000007</v>
      </c>
      <c r="C9" s="26">
        <f t="shared" si="0"/>
        <v>0.49000000000000005</v>
      </c>
    </row>
    <row r="10" spans="1:3" x14ac:dyDescent="0.2">
      <c r="A10" s="1">
        <v>8</v>
      </c>
      <c r="B10" s="1">
        <v>11</v>
      </c>
      <c r="C10" s="26">
        <f t="shared" si="0"/>
        <v>0.55000000000000004</v>
      </c>
    </row>
    <row r="11" spans="1:3" x14ac:dyDescent="0.2">
      <c r="A11" s="1">
        <v>9</v>
      </c>
      <c r="B11" s="1">
        <v>11.5</v>
      </c>
      <c r="C11" s="26">
        <f t="shared" si="0"/>
        <v>0.57500000000000007</v>
      </c>
    </row>
    <row r="12" spans="1:3" x14ac:dyDescent="0.2">
      <c r="A12" s="1">
        <v>10</v>
      </c>
      <c r="B12" s="1">
        <v>11.9</v>
      </c>
      <c r="C12" s="26">
        <f t="shared" si="0"/>
        <v>0.59500000000000008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2E2B-ACFD-1D43-AA80-2F32817F7048}">
  <dimension ref="A1:J34"/>
  <sheetViews>
    <sheetView tabSelected="1" zoomScaleNormal="100" workbookViewId="0">
      <selection activeCell="I33" sqref="I33"/>
    </sheetView>
  </sheetViews>
  <sheetFormatPr baseColWidth="10" defaultRowHeight="16" x14ac:dyDescent="0.2"/>
  <cols>
    <col min="1" max="1" width="13.83203125" style="1" customWidth="1"/>
    <col min="2" max="2" width="19.1640625" style="1" customWidth="1"/>
    <col min="3" max="3" width="40.1640625" style="1" customWidth="1"/>
    <col min="4" max="4" width="27.5" style="1" customWidth="1"/>
    <col min="5" max="6" width="10.83203125" style="1"/>
    <col min="7" max="7" width="13.83203125" style="1" customWidth="1"/>
    <col min="8" max="8" width="19.5" style="1" customWidth="1"/>
    <col min="9" max="9" width="38.83203125" style="1" customWidth="1"/>
    <col min="10" max="10" width="29.83203125" style="1" customWidth="1"/>
    <col min="11" max="11" width="10.83203125" style="1" customWidth="1"/>
    <col min="12" max="16384" width="10.83203125" style="1"/>
  </cols>
  <sheetData>
    <row r="1" spans="1:10" ht="19" x14ac:dyDescent="0.2">
      <c r="A1" s="25" t="s">
        <v>13</v>
      </c>
      <c r="B1" s="25" t="s">
        <v>14</v>
      </c>
      <c r="C1" s="25" t="s">
        <v>12</v>
      </c>
      <c r="D1" s="25" t="s">
        <v>16</v>
      </c>
      <c r="G1" s="25"/>
      <c r="H1" s="25"/>
      <c r="I1" s="25"/>
      <c r="J1" s="25"/>
    </row>
    <row r="2" spans="1:10" x14ac:dyDescent="0.2">
      <c r="A2" s="1">
        <v>0</v>
      </c>
      <c r="B2" s="1">
        <v>0</v>
      </c>
      <c r="C2" s="32">
        <v>3.4000000000000002E-4</v>
      </c>
      <c r="D2" s="32">
        <v>9.0184995056457953E-3</v>
      </c>
      <c r="I2" s="32"/>
      <c r="J2" s="32"/>
    </row>
    <row r="3" spans="1:10" x14ac:dyDescent="0.2">
      <c r="A3" s="1">
        <v>2.6</v>
      </c>
      <c r="B3" s="1">
        <v>0.1</v>
      </c>
      <c r="C3" s="32">
        <v>-9.0799999999999995E-3</v>
      </c>
      <c r="D3" s="32">
        <v>8.9999999999999993E-3</v>
      </c>
      <c r="I3" s="32"/>
      <c r="J3" s="32"/>
    </row>
    <row r="4" spans="1:10" x14ac:dyDescent="0.2">
      <c r="A4" s="1">
        <v>4.3</v>
      </c>
      <c r="B4" s="1">
        <v>0.2</v>
      </c>
      <c r="C4" s="32">
        <v>7.0600000000000003E-3</v>
      </c>
      <c r="D4" s="32">
        <v>1.4999999999999999E-2</v>
      </c>
      <c r="I4" s="32"/>
      <c r="J4" s="32"/>
    </row>
    <row r="5" spans="1:10" x14ac:dyDescent="0.2">
      <c r="A5" s="1">
        <v>5.3</v>
      </c>
      <c r="B5" s="1">
        <v>0.3</v>
      </c>
      <c r="C5" s="32">
        <v>1.678E-2</v>
      </c>
      <c r="D5" s="32">
        <v>2.4E-2</v>
      </c>
      <c r="I5" s="32"/>
      <c r="J5" s="32"/>
    </row>
    <row r="6" spans="1:10" x14ac:dyDescent="0.2">
      <c r="A6" s="1">
        <v>6.7</v>
      </c>
      <c r="B6" s="1">
        <v>0.3</v>
      </c>
      <c r="C6" s="32">
        <v>8.7399999999999995E-3</v>
      </c>
      <c r="D6" s="32">
        <v>0.01</v>
      </c>
      <c r="I6" s="32"/>
      <c r="J6" s="32"/>
    </row>
    <row r="7" spans="1:10" x14ac:dyDescent="0.2">
      <c r="A7" s="1">
        <v>7.7</v>
      </c>
      <c r="B7" s="1">
        <v>0.4</v>
      </c>
      <c r="C7" s="32">
        <v>2.69E-2</v>
      </c>
      <c r="D7" s="32">
        <v>8.5999999999999993E-2</v>
      </c>
      <c r="I7" s="32"/>
      <c r="J7" s="32"/>
    </row>
    <row r="8" spans="1:10" x14ac:dyDescent="0.2">
      <c r="A8" s="1">
        <v>8.6</v>
      </c>
      <c r="B8" s="1">
        <v>0.4</v>
      </c>
      <c r="C8" s="32">
        <v>2.8920000000000001E-2</v>
      </c>
      <c r="D8" s="32">
        <v>1.4999999999999999E-2</v>
      </c>
      <c r="I8" s="32"/>
      <c r="J8" s="32"/>
    </row>
    <row r="9" spans="1:10" x14ac:dyDescent="0.2">
      <c r="A9" s="1">
        <v>9.8000000000000007</v>
      </c>
      <c r="B9" s="1">
        <v>0.5</v>
      </c>
      <c r="C9" s="32">
        <v>2.0200000000000001E-3</v>
      </c>
      <c r="D9" s="32">
        <v>4.1000000000000002E-2</v>
      </c>
      <c r="I9" s="32"/>
      <c r="J9" s="32"/>
    </row>
    <row r="10" spans="1:10" x14ac:dyDescent="0.2">
      <c r="A10" s="1">
        <v>11</v>
      </c>
      <c r="B10" s="1">
        <v>0.6</v>
      </c>
      <c r="C10" s="32">
        <v>6.8260000000000001E-2</v>
      </c>
      <c r="D10" s="32">
        <v>5.8999999999999997E-2</v>
      </c>
      <c r="I10" s="32"/>
      <c r="J10" s="32"/>
    </row>
    <row r="11" spans="1:10" x14ac:dyDescent="0.2">
      <c r="A11" s="1">
        <v>11.5</v>
      </c>
      <c r="B11" s="1">
        <v>0.6</v>
      </c>
      <c r="C11" s="32">
        <v>1.244E-2</v>
      </c>
      <c r="D11" s="32">
        <v>4.1000000000000002E-2</v>
      </c>
      <c r="I11" s="32"/>
      <c r="J11" s="32"/>
    </row>
    <row r="12" spans="1:10" x14ac:dyDescent="0.2">
      <c r="A12" s="1">
        <v>11.9</v>
      </c>
      <c r="B12" s="1">
        <v>0.6</v>
      </c>
      <c r="C12" s="32">
        <v>5.7200000000000003E-3</v>
      </c>
      <c r="D12" s="32">
        <v>3.0000000000000001E-3</v>
      </c>
      <c r="I12" s="32"/>
      <c r="J12" s="32"/>
    </row>
    <row r="13" spans="1:10" x14ac:dyDescent="0.2">
      <c r="C13" s="32"/>
      <c r="D13" s="32"/>
    </row>
    <row r="15" spans="1:10" x14ac:dyDescent="0.2">
      <c r="C15" s="32"/>
      <c r="D15" s="32"/>
    </row>
    <row r="16" spans="1:10" x14ac:dyDescent="0.2">
      <c r="C16" s="32"/>
      <c r="D16" s="32"/>
    </row>
    <row r="18" spans="3:4" x14ac:dyDescent="0.2">
      <c r="C18" s="32"/>
      <c r="D18" s="32"/>
    </row>
    <row r="19" spans="3:4" x14ac:dyDescent="0.2">
      <c r="C19" s="32"/>
      <c r="D19" s="32"/>
    </row>
    <row r="21" spans="3:4" x14ac:dyDescent="0.2">
      <c r="C21" s="32"/>
      <c r="D21" s="32"/>
    </row>
    <row r="22" spans="3:4" x14ac:dyDescent="0.2">
      <c r="C22" s="32"/>
      <c r="D22" s="32"/>
    </row>
    <row r="24" spans="3:4" x14ac:dyDescent="0.2">
      <c r="C24" s="32"/>
      <c r="D24" s="32"/>
    </row>
    <row r="25" spans="3:4" x14ac:dyDescent="0.2">
      <c r="C25" s="32"/>
      <c r="D25" s="32"/>
    </row>
    <row r="27" spans="3:4" x14ac:dyDescent="0.2">
      <c r="C27" s="32"/>
      <c r="D27" s="32"/>
    </row>
    <row r="28" spans="3:4" x14ac:dyDescent="0.2">
      <c r="C28" s="32"/>
      <c r="D28" s="32"/>
    </row>
    <row r="30" spans="3:4" x14ac:dyDescent="0.2">
      <c r="C30" s="32"/>
      <c r="D30" s="32"/>
    </row>
    <row r="31" spans="3:4" x14ac:dyDescent="0.2">
      <c r="C31" s="32"/>
      <c r="D31" s="32"/>
    </row>
    <row r="33" spans="3:4" x14ac:dyDescent="0.2">
      <c r="C33" s="32"/>
      <c r="D33" s="32"/>
    </row>
    <row r="34" spans="3:4" x14ac:dyDescent="0.2">
      <c r="C34" s="32"/>
      <c r="D34" s="32"/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Speed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(Jiarui) Hu</dc:creator>
  <cp:lastModifiedBy>Jerry (Jiarui) Hu</cp:lastModifiedBy>
  <dcterms:created xsi:type="dcterms:W3CDTF">2025-11-22T04:47:41Z</dcterms:created>
  <dcterms:modified xsi:type="dcterms:W3CDTF">2025-11-24T02:17:49Z</dcterms:modified>
</cp:coreProperties>
</file>